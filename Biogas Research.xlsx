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s" sheetId="1" r:id="rId5"/>
    <sheet state="visible" name="Variables" sheetId="2" r:id="rId6"/>
  </sheets>
  <definedNames>
    <definedName name="DryFoodPercent">Constants!$A$7</definedName>
    <definedName name="VS_Percent">Constants!$B$7</definedName>
    <definedName name="Days">Constants!$D$3</definedName>
    <definedName name="MethanePercent">Constants!$D$7</definedName>
    <definedName name="BiogasPercent">Constants!$C$7</definedName>
    <definedName name="MethaneToElectricity">#REF!</definedName>
    <definedName name="HostelPopulation">Constants!$C$3</definedName>
    <definedName name="LPGUsefulHeat">Constants!$F$11</definedName>
    <definedName name="BiogasUsefulHeat">Constants!$D$11</definedName>
  </definedNames>
  <calcPr/>
</workbook>
</file>

<file path=xl/sharedStrings.xml><?xml version="1.0" encoding="utf-8"?>
<sst xmlns="http://schemas.openxmlformats.org/spreadsheetml/2006/main" count="48" uniqueCount="34">
  <si>
    <t>Hostel Population</t>
  </si>
  <si>
    <t>Male</t>
  </si>
  <si>
    <t>Female</t>
  </si>
  <si>
    <t>Total</t>
  </si>
  <si>
    <t>Days of Class</t>
  </si>
  <si>
    <t>Biogas Production</t>
  </si>
  <si>
    <t>% of dry food content in mess food</t>
  </si>
  <si>
    <t>Volatile Solids as % of dry solids</t>
  </si>
  <si>
    <t>Biogas as % of Volatile Solids</t>
  </si>
  <si>
    <t>Methans as % of Biogas</t>
  </si>
  <si>
    <t>Heat and Energy</t>
  </si>
  <si>
    <t>Methane Calorific Value per Cubic Meter (MJ), at LHV</t>
  </si>
  <si>
    <t>Biogas Calorific Value per Cubic Meter (MJ), at LHV</t>
  </si>
  <si>
    <t>Assumed Burner Efficiency %</t>
  </si>
  <si>
    <t>Useful Heat Per Cubic Meter of Biogas (MJ)</t>
  </si>
  <si>
    <t>Calorific Value of LPG per kg (MJ)</t>
  </si>
  <si>
    <t>Useful Heat per KG of LPG (MJ)</t>
  </si>
  <si>
    <t xml:space="preserve">DAILY  </t>
  </si>
  <si>
    <t xml:space="preserve">ANNUM </t>
  </si>
  <si>
    <t>ANNUM</t>
  </si>
  <si>
    <t>Daily Food Waste Per Capita (in grams)</t>
  </si>
  <si>
    <t>Organic Loading Rate (kg of Volatile Solids / m )</t>
  </si>
  <si>
    <t>Daily Total Food Waste Generation (in kg)</t>
  </si>
  <si>
    <t>Annual Food waste generation (in kg)</t>
  </si>
  <si>
    <t>Daily Volatile Solids Generation (in kg)</t>
  </si>
  <si>
    <t>Digester Volume (in cubic meters) OLR 1.5</t>
  </si>
  <si>
    <t>Digester Volume (in cubic meters) OLR 3</t>
  </si>
  <si>
    <t>Digester Volume (in cubic meters) OLR 4.5</t>
  </si>
  <si>
    <t>Digester Volume (in cubic meters) OLR 6</t>
  </si>
  <si>
    <t>Biogas Generation (cubic meters)</t>
  </si>
  <si>
    <t>Methane Generation (cubic meters)</t>
  </si>
  <si>
    <t>Effective Heat generated through BIogas per day (MJ)</t>
  </si>
  <si>
    <t>Kg of LPG replaced</t>
  </si>
  <si>
    <t>No. of LPG Cylinders 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</si>
</sst>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</border>
    <border>
      <left style="double">
        <color rgb="FF000000"/>
      </left>
      <right style="double">
        <color rgb="FF000000"/>
      </right>
    </border>
    <border>
      <right style="thin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3" numFmtId="0" xfId="0" applyBorder="1" applyFont="1"/>
    <xf borderId="5" fillId="0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Border="1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2" fontId="3" numFmtId="0" xfId="0" applyAlignment="1" applyFill="1" applyFont="1">
      <alignment horizontal="right" readingOrder="0"/>
    </xf>
    <xf borderId="4" fillId="2" fontId="3" numFmtId="0" xfId="0" applyAlignment="1" applyBorder="1" applyFont="1">
      <alignment readingOrder="0"/>
    </xf>
    <xf borderId="0" fillId="2" fontId="3" numFmtId="0" xfId="0" applyFont="1"/>
    <xf borderId="10" fillId="2" fontId="3" numFmtId="0" xfId="0" applyBorder="1" applyFont="1"/>
    <xf borderId="11" fillId="2" fontId="3" numFmtId="0" xfId="0" applyBorder="1" applyFont="1"/>
    <xf borderId="12" fillId="2" fontId="3" numFmtId="0" xfId="0" applyBorder="1" applyFont="1"/>
    <xf borderId="0" fillId="2" fontId="3" numFmtId="164" xfId="0" applyFont="1" applyNumberFormat="1"/>
    <xf borderId="0" fillId="2" fontId="3" numFmtId="1" xfId="0" applyFont="1" applyNumberForma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3" numFmtId="164" xfId="0" applyFont="1" applyNumberFormat="1"/>
    <xf borderId="0" fillId="0" fontId="3" numFmtId="1" xfId="0" applyFont="1" applyNumberFormat="1"/>
    <xf borderId="0" fillId="3" fontId="3" numFmtId="0" xfId="0" applyAlignment="1" applyFill="1" applyFont="1">
      <alignment horizontal="right" readingOrder="0"/>
    </xf>
    <xf borderId="0" fillId="3" fontId="3" numFmtId="0" xfId="0" applyAlignment="1" applyFont="1">
      <alignment readingOrder="0"/>
    </xf>
    <xf borderId="0" fillId="3" fontId="3" numFmtId="0" xfId="0" applyFont="1"/>
    <xf borderId="10" fillId="3" fontId="3" numFmtId="0" xfId="0" applyBorder="1" applyFont="1"/>
    <xf borderId="11" fillId="3" fontId="3" numFmtId="0" xfId="0" applyBorder="1" applyFont="1"/>
    <xf borderId="12" fillId="3" fontId="3" numFmtId="0" xfId="0" applyBorder="1" applyFont="1"/>
    <xf borderId="0" fillId="3" fontId="3" numFmtId="164" xfId="0" applyFont="1" applyNumberFormat="1"/>
    <xf borderId="0" fillId="3" fontId="3" numFmtId="1" xfId="0" applyFont="1" applyNumberFormat="1"/>
    <xf borderId="13" fillId="0" fontId="3" numFmtId="0" xfId="0" applyAlignment="1" applyBorder="1" applyFont="1">
      <alignment readingOrder="0"/>
    </xf>
    <xf borderId="0" fillId="4" fontId="3" numFmtId="0" xfId="0" applyAlignment="1" applyFill="1" applyFont="1">
      <alignment horizontal="right" readingOrder="0"/>
    </xf>
    <xf borderId="0" fillId="4" fontId="3" numFmtId="0" xfId="0" applyAlignment="1" applyFont="1">
      <alignment readingOrder="0"/>
    </xf>
    <xf borderId="0" fillId="4" fontId="3" numFmtId="0" xfId="0" applyFont="1"/>
    <xf borderId="10" fillId="4" fontId="3" numFmtId="0" xfId="0" applyBorder="1" applyFont="1"/>
    <xf borderId="11" fillId="4" fontId="3" numFmtId="0" xfId="0" applyBorder="1" applyFont="1"/>
    <xf borderId="12" fillId="4" fontId="3" numFmtId="0" xfId="0" applyBorder="1" applyFont="1"/>
    <xf borderId="0" fillId="4" fontId="3" numFmtId="164" xfId="0" applyFont="1" applyNumberFormat="1"/>
    <xf borderId="0" fillId="4" fontId="3" numFmtId="1" xfId="0" applyFont="1" applyNumberForma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0"/>
    <col customWidth="1" min="8" max="8" width="13.13"/>
    <col customWidth="1" min="10" max="10" width="15.13"/>
    <col customWidth="1" min="13" max="13" width="14.13"/>
  </cols>
  <sheetData>
    <row r="1" ht="20.25" customHeight="1">
      <c r="A1" s="1" t="s">
        <v>0</v>
      </c>
      <c r="B1" s="2"/>
      <c r="C1" s="3"/>
    </row>
    <row r="2" ht="39.75" customHeight="1">
      <c r="A2" s="4" t="s">
        <v>1</v>
      </c>
      <c r="B2" s="4" t="s">
        <v>2</v>
      </c>
      <c r="C2" s="4" t="s">
        <v>3</v>
      </c>
      <c r="D2" s="5" t="s">
        <v>4</v>
      </c>
      <c r="P2" s="6"/>
    </row>
    <row r="3" ht="26.25" customHeight="1">
      <c r="A3" s="7">
        <v>9083.0</v>
      </c>
      <c r="B3" s="8">
        <v>4522.0</v>
      </c>
      <c r="C3" s="9">
        <f>SUM(A3, B3)</f>
        <v>13605</v>
      </c>
      <c r="D3" s="4">
        <v>300.0</v>
      </c>
    </row>
    <row r="5">
      <c r="A5" s="10" t="s">
        <v>5</v>
      </c>
      <c r="B5" s="11"/>
      <c r="C5" s="11"/>
      <c r="D5" s="12"/>
    </row>
    <row r="6">
      <c r="A6" s="5" t="s">
        <v>6</v>
      </c>
      <c r="B6" s="5" t="s">
        <v>7</v>
      </c>
      <c r="C6" s="5" t="s">
        <v>8</v>
      </c>
      <c r="D6" s="5" t="s">
        <v>9</v>
      </c>
    </row>
    <row r="7">
      <c r="A7" s="8">
        <v>25.0</v>
      </c>
      <c r="B7" s="8">
        <v>95.0</v>
      </c>
      <c r="C7" s="8">
        <v>68.0</v>
      </c>
      <c r="D7" s="13">
        <v>60.0</v>
      </c>
    </row>
    <row r="9">
      <c r="A9" s="10" t="s">
        <v>10</v>
      </c>
      <c r="B9" s="11"/>
      <c r="C9" s="11"/>
      <c r="D9" s="11"/>
      <c r="E9" s="11"/>
      <c r="F9" s="12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</row>
    <row r="11">
      <c r="A11" s="7">
        <v>35.8</v>
      </c>
      <c r="B11" s="8">
        <f>A11 * MethanePercent/100</f>
        <v>21.48</v>
      </c>
      <c r="C11" s="8">
        <v>60.0</v>
      </c>
      <c r="D11" s="9">
        <f>B11 * C11/100</f>
        <v>12.888</v>
      </c>
      <c r="E11" s="8">
        <v>46.0</v>
      </c>
      <c r="F11" s="14">
        <f>E11 * C11/100</f>
        <v>27.6</v>
      </c>
    </row>
  </sheetData>
  <mergeCells count="3">
    <mergeCell ref="A1:C1"/>
    <mergeCell ref="A5:D5"/>
    <mergeCell ref="A9:F9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.75"/>
    <col customWidth="1" min="8" max="8" width="7.25"/>
    <col customWidth="1" min="13" max="13" width="7.88"/>
    <col customWidth="1" min="16" max="17" width="12.25"/>
    <col customWidth="1" min="18" max="18" width="7.38"/>
  </cols>
  <sheetData>
    <row r="1">
      <c r="A1" s="15" t="s">
        <v>17</v>
      </c>
      <c r="B1" s="15"/>
      <c r="C1" s="16"/>
      <c r="D1" s="15" t="s">
        <v>17</v>
      </c>
      <c r="E1" s="15" t="s">
        <v>18</v>
      </c>
      <c r="F1" s="17"/>
      <c r="G1" s="15" t="s">
        <v>17</v>
      </c>
      <c r="H1" s="17"/>
      <c r="I1" s="15"/>
      <c r="J1" s="15"/>
      <c r="K1" s="15"/>
      <c r="L1" s="15"/>
      <c r="M1" s="16"/>
      <c r="N1" s="15" t="s">
        <v>17</v>
      </c>
      <c r="O1" s="15" t="s">
        <v>17</v>
      </c>
      <c r="P1" s="15" t="s">
        <v>19</v>
      </c>
      <c r="Q1" s="18" t="s">
        <v>19</v>
      </c>
      <c r="R1" s="16"/>
      <c r="S1" s="15" t="s">
        <v>17</v>
      </c>
      <c r="T1" s="15" t="s">
        <v>17</v>
      </c>
      <c r="U1" s="15" t="s">
        <v>17</v>
      </c>
      <c r="W1" s="15" t="s">
        <v>18</v>
      </c>
      <c r="Z1" s="6"/>
    </row>
    <row r="2">
      <c r="A2" s="6" t="s">
        <v>20</v>
      </c>
      <c r="B2" s="6" t="s">
        <v>21</v>
      </c>
      <c r="D2" s="6" t="s">
        <v>22</v>
      </c>
      <c r="E2" s="6" t="s">
        <v>23</v>
      </c>
      <c r="F2" s="19"/>
      <c r="G2" s="6" t="s">
        <v>24</v>
      </c>
      <c r="H2" s="19"/>
      <c r="I2" s="20" t="s">
        <v>25</v>
      </c>
      <c r="J2" s="21" t="s">
        <v>26</v>
      </c>
      <c r="K2" s="22" t="s">
        <v>27</v>
      </c>
      <c r="L2" s="23" t="s">
        <v>28</v>
      </c>
      <c r="N2" s="6" t="s">
        <v>29</v>
      </c>
      <c r="O2" s="6" t="s">
        <v>30</v>
      </c>
      <c r="P2" s="6" t="s">
        <v>29</v>
      </c>
      <c r="Q2" s="6" t="s">
        <v>30</v>
      </c>
      <c r="S2" s="6" t="s">
        <v>31</v>
      </c>
      <c r="T2" s="6" t="s">
        <v>32</v>
      </c>
      <c r="U2" s="6" t="s">
        <v>33</v>
      </c>
      <c r="W2" s="6" t="s">
        <v>31</v>
      </c>
      <c r="X2" s="6" t="s">
        <v>32</v>
      </c>
      <c r="Y2" s="6" t="s">
        <v>33</v>
      </c>
    </row>
    <row r="3">
      <c r="A3" s="24">
        <v>100.0</v>
      </c>
      <c r="B3" s="25">
        <v>1.5</v>
      </c>
      <c r="D3" s="26">
        <f>A3 * HostelPopulation * 0.001</f>
        <v>1360.5</v>
      </c>
      <c r="E3" s="26">
        <f>D3 * Days</f>
        <v>408150</v>
      </c>
      <c r="F3" s="26"/>
      <c r="G3" s="26">
        <f>D3 * DryFoodPercent/100 * VS_Percent/100</f>
        <v>323.11875</v>
      </c>
      <c r="I3" s="27">
        <f t="shared" ref="I3:I23" si="1">G3 / $B$3</f>
        <v>215.4125</v>
      </c>
      <c r="J3" s="28">
        <f t="shared" ref="J3:J23" si="2">G3 / $B$9</f>
        <v>107.70625</v>
      </c>
      <c r="K3" s="26">
        <f t="shared" ref="K3:K23" si="3">G3 / $B$15</f>
        <v>71.80416667</v>
      </c>
      <c r="L3" s="29">
        <f t="shared" ref="L3:L23" si="4">G3 / $B$21</f>
        <v>53.853125</v>
      </c>
      <c r="N3" s="26">
        <f>G3 * BiogasPercent/100</f>
        <v>219.72075</v>
      </c>
      <c r="O3" s="26">
        <f>N3 * MethanePercent/100</f>
        <v>131.83245</v>
      </c>
      <c r="P3" s="26">
        <f>N3 * Days</f>
        <v>65916.225</v>
      </c>
      <c r="Q3" s="26">
        <f>O3 * Days</f>
        <v>39549.735</v>
      </c>
      <c r="S3" s="26">
        <f>N3 * BiogasUsefulHeat</f>
        <v>2831.761026</v>
      </c>
      <c r="T3" s="26">
        <f>S3 / LPGUsefulHeat</f>
        <v>102.6000372</v>
      </c>
      <c r="U3" s="30">
        <f t="shared" ref="U3:U23" si="5">T3 / 19</f>
        <v>5.400001957</v>
      </c>
      <c r="W3" s="26">
        <f>S3 * Days</f>
        <v>849528.3078</v>
      </c>
      <c r="X3" s="26">
        <f>W3 / LPGUsefulHeat</f>
        <v>30780.01115</v>
      </c>
      <c r="Y3" s="31">
        <f t="shared" ref="Y3:Y23" si="6">X3 / 19</f>
        <v>1620.000587</v>
      </c>
    </row>
    <row r="4">
      <c r="A4" s="32">
        <v>110.0</v>
      </c>
      <c r="B4" s="33">
        <v>1.75</v>
      </c>
      <c r="D4" s="34">
        <f>A4 * HostelPopulation * 0.001</f>
        <v>1496.55</v>
      </c>
      <c r="E4" s="34">
        <f>D4 * Days</f>
        <v>448965</v>
      </c>
      <c r="G4" s="34">
        <f>D4 * DryFoodPercent/100 * VS_Percent/100</f>
        <v>355.430625</v>
      </c>
      <c r="I4" s="35">
        <f t="shared" si="1"/>
        <v>236.95375</v>
      </c>
      <c r="J4" s="36">
        <f t="shared" si="2"/>
        <v>118.476875</v>
      </c>
      <c r="K4" s="34">
        <f t="shared" si="3"/>
        <v>78.98458333</v>
      </c>
      <c r="L4" s="37">
        <f t="shared" si="4"/>
        <v>59.2384375</v>
      </c>
      <c r="N4" s="34">
        <f>G4 * BiogasPercent/100</f>
        <v>241.692825</v>
      </c>
      <c r="O4" s="34">
        <f>N4 * MethanePercent/100</f>
        <v>145.015695</v>
      </c>
      <c r="P4" s="34">
        <f>N4 * Days</f>
        <v>72507.8475</v>
      </c>
      <c r="Q4" s="34">
        <f>O4 * Days</f>
        <v>43504.7085</v>
      </c>
      <c r="S4" s="34">
        <f>N4 * BiogasUsefulHeat</f>
        <v>3114.937129</v>
      </c>
      <c r="T4" s="34">
        <f>S4 / LPGUsefulHeat</f>
        <v>112.8600409</v>
      </c>
      <c r="U4" s="38">
        <f t="shared" si="5"/>
        <v>5.940002152</v>
      </c>
      <c r="W4" s="34">
        <f>S4 * Days</f>
        <v>934481.1386</v>
      </c>
      <c r="X4" s="34">
        <f>W4 / LPGUsefulHeat</f>
        <v>33858.01227</v>
      </c>
      <c r="Y4" s="39">
        <f t="shared" si="6"/>
        <v>1782.000646</v>
      </c>
    </row>
    <row r="5">
      <c r="A5" s="32">
        <v>120.0</v>
      </c>
      <c r="B5" s="33">
        <v>2.0</v>
      </c>
      <c r="D5" s="34">
        <f>A5 * HostelPopulation * 0.001</f>
        <v>1632.6</v>
      </c>
      <c r="E5" s="34">
        <f>D5 * Days</f>
        <v>489780</v>
      </c>
      <c r="G5" s="34">
        <f>D5 * DryFoodPercent/100 * VS_Percent/100</f>
        <v>387.7425</v>
      </c>
      <c r="I5" s="35">
        <f t="shared" si="1"/>
        <v>258.495</v>
      </c>
      <c r="J5" s="36">
        <f t="shared" si="2"/>
        <v>129.2475</v>
      </c>
      <c r="K5" s="34">
        <f t="shared" si="3"/>
        <v>86.165</v>
      </c>
      <c r="L5" s="37">
        <f t="shared" si="4"/>
        <v>64.62375</v>
      </c>
      <c r="N5" s="34">
        <f>G5 * BiogasPercent/100</f>
        <v>263.6649</v>
      </c>
      <c r="O5" s="34">
        <f>N5 * MethanePercent/100</f>
        <v>158.19894</v>
      </c>
      <c r="P5" s="34">
        <f>N5 * Days</f>
        <v>79099.47</v>
      </c>
      <c r="Q5" s="34">
        <f>O5 * Days</f>
        <v>47459.682</v>
      </c>
      <c r="S5" s="34">
        <f>N5 * BiogasUsefulHeat</f>
        <v>3398.113231</v>
      </c>
      <c r="T5" s="34">
        <f>S5 / LPGUsefulHeat</f>
        <v>123.1200446</v>
      </c>
      <c r="U5" s="38">
        <f t="shared" si="5"/>
        <v>6.480002348</v>
      </c>
      <c r="W5" s="34">
        <f>S5 * Days</f>
        <v>1019433.969</v>
      </c>
      <c r="X5" s="34">
        <f>W5 / LPGUsefulHeat</f>
        <v>36936.01338</v>
      </c>
      <c r="Y5" s="39">
        <f t="shared" si="6"/>
        <v>1944.000704</v>
      </c>
    </row>
    <row r="6">
      <c r="A6" s="32">
        <v>130.0</v>
      </c>
      <c r="B6" s="33">
        <v>2.25</v>
      </c>
      <c r="D6" s="34">
        <f>A6 * HostelPopulation * 0.001</f>
        <v>1768.65</v>
      </c>
      <c r="E6" s="34">
        <f>D6 * Days</f>
        <v>530595</v>
      </c>
      <c r="G6" s="34">
        <f>D6 * DryFoodPercent/100 * VS_Percent/100</f>
        <v>420.054375</v>
      </c>
      <c r="I6" s="35">
        <f t="shared" si="1"/>
        <v>280.03625</v>
      </c>
      <c r="J6" s="36">
        <f t="shared" si="2"/>
        <v>140.018125</v>
      </c>
      <c r="K6" s="34">
        <f t="shared" si="3"/>
        <v>93.34541667</v>
      </c>
      <c r="L6" s="37">
        <f t="shared" si="4"/>
        <v>70.0090625</v>
      </c>
      <c r="N6" s="34">
        <f>G6 * BiogasPercent/100</f>
        <v>285.636975</v>
      </c>
      <c r="O6" s="34">
        <f>N6 * MethanePercent/100</f>
        <v>171.382185</v>
      </c>
      <c r="P6" s="34">
        <f>N6 * Days</f>
        <v>85691.0925</v>
      </c>
      <c r="Q6" s="34">
        <f>O6 * Days</f>
        <v>51414.6555</v>
      </c>
      <c r="S6" s="34">
        <f>N6 * BiogasUsefulHeat</f>
        <v>3681.289334</v>
      </c>
      <c r="T6" s="34">
        <f>S6 / LPGUsefulHeat</f>
        <v>133.3800483</v>
      </c>
      <c r="U6" s="38">
        <f t="shared" si="5"/>
        <v>7.020002543</v>
      </c>
      <c r="W6" s="34">
        <f>S6 * Days</f>
        <v>1104386.8</v>
      </c>
      <c r="X6" s="34">
        <f>W6 / LPGUsefulHeat</f>
        <v>40014.0145</v>
      </c>
      <c r="Y6" s="39">
        <f t="shared" si="6"/>
        <v>2106.000763</v>
      </c>
    </row>
    <row r="7">
      <c r="A7" s="32">
        <v>140.0</v>
      </c>
      <c r="B7" s="33">
        <v>2.5</v>
      </c>
      <c r="D7" s="34">
        <f>A7 * HostelPopulation * 0.001</f>
        <v>1904.7</v>
      </c>
      <c r="E7" s="34">
        <f>D7 * Days</f>
        <v>571410</v>
      </c>
      <c r="G7" s="34">
        <f>D7 * DryFoodPercent/100 * VS_Percent/100</f>
        <v>452.36625</v>
      </c>
      <c r="I7" s="35">
        <f t="shared" si="1"/>
        <v>301.5775</v>
      </c>
      <c r="J7" s="36">
        <f t="shared" si="2"/>
        <v>150.78875</v>
      </c>
      <c r="K7" s="34">
        <f t="shared" si="3"/>
        <v>100.5258333</v>
      </c>
      <c r="L7" s="37">
        <f t="shared" si="4"/>
        <v>75.394375</v>
      </c>
      <c r="N7" s="34">
        <f>G7 * BiogasPercent/100</f>
        <v>307.60905</v>
      </c>
      <c r="O7" s="34">
        <f>N7 * MethanePercent/100</f>
        <v>184.56543</v>
      </c>
      <c r="P7" s="34">
        <f>N7 * Days</f>
        <v>92282.715</v>
      </c>
      <c r="Q7" s="34">
        <f>O7 * Days</f>
        <v>55369.629</v>
      </c>
      <c r="S7" s="34">
        <f>N7 * BiogasUsefulHeat</f>
        <v>3964.465436</v>
      </c>
      <c r="T7" s="34">
        <f>S7 / LPGUsefulHeat</f>
        <v>143.640052</v>
      </c>
      <c r="U7" s="38">
        <f t="shared" si="5"/>
        <v>7.560002739</v>
      </c>
      <c r="W7" s="34">
        <f>S7 * Days</f>
        <v>1189339.631</v>
      </c>
      <c r="X7" s="34">
        <f>W7 / LPGUsefulHeat</f>
        <v>43092.01561</v>
      </c>
      <c r="Y7" s="39">
        <f t="shared" si="6"/>
        <v>2268.000822</v>
      </c>
    </row>
    <row r="8">
      <c r="A8" s="40">
        <v>150.0</v>
      </c>
      <c r="B8" s="41">
        <v>2.75</v>
      </c>
      <c r="D8" s="42">
        <f>A8 * HostelPopulation * 0.001</f>
        <v>2040.75</v>
      </c>
      <c r="E8" s="42">
        <f>D8 * Days</f>
        <v>612225</v>
      </c>
      <c r="F8" s="42"/>
      <c r="G8" s="42">
        <f>D8 * DryFoodPercent/100 * VS_Percent/100</f>
        <v>484.678125</v>
      </c>
      <c r="I8" s="43">
        <f t="shared" si="1"/>
        <v>323.11875</v>
      </c>
      <c r="J8" s="44">
        <f t="shared" si="2"/>
        <v>161.559375</v>
      </c>
      <c r="K8" s="42">
        <f t="shared" si="3"/>
        <v>107.70625</v>
      </c>
      <c r="L8" s="45">
        <f t="shared" si="4"/>
        <v>80.7796875</v>
      </c>
      <c r="N8" s="42">
        <f>G8 * BiogasPercent/100</f>
        <v>329.581125</v>
      </c>
      <c r="O8" s="42">
        <f>N8 * MethanePercent/100</f>
        <v>197.748675</v>
      </c>
      <c r="P8" s="42">
        <f>N8 * Days</f>
        <v>98874.3375</v>
      </c>
      <c r="Q8" s="42">
        <f>O8 * Days</f>
        <v>59324.6025</v>
      </c>
      <c r="S8" s="42">
        <f>N8 * BiogasUsefulHeat</f>
        <v>4247.641539</v>
      </c>
      <c r="T8" s="42">
        <f>S8 / LPGUsefulHeat</f>
        <v>153.9000558</v>
      </c>
      <c r="U8" s="46">
        <f t="shared" si="5"/>
        <v>8.100002935</v>
      </c>
      <c r="W8" s="42">
        <f>S8 * Days</f>
        <v>1274292.462</v>
      </c>
      <c r="X8" s="42">
        <f>W8 / LPGUsefulHeat</f>
        <v>46170.01673</v>
      </c>
      <c r="Y8" s="47">
        <f t="shared" si="6"/>
        <v>2430.00088</v>
      </c>
    </row>
    <row r="9">
      <c r="A9" s="32">
        <v>160.0</v>
      </c>
      <c r="B9" s="48">
        <v>3.0</v>
      </c>
      <c r="D9" s="34">
        <f>A9 * HostelPopulation * 0.001</f>
        <v>2176.8</v>
      </c>
      <c r="E9" s="34">
        <f>D9 * Days</f>
        <v>653040</v>
      </c>
      <c r="G9" s="34">
        <f>D9 * DryFoodPercent/100 * VS_Percent/100</f>
        <v>516.99</v>
      </c>
      <c r="I9" s="35">
        <f t="shared" si="1"/>
        <v>344.66</v>
      </c>
      <c r="J9" s="36">
        <f t="shared" si="2"/>
        <v>172.33</v>
      </c>
      <c r="K9" s="34">
        <f t="shared" si="3"/>
        <v>114.8866667</v>
      </c>
      <c r="L9" s="37">
        <f t="shared" si="4"/>
        <v>86.165</v>
      </c>
      <c r="N9" s="34">
        <f>G9 * BiogasPercent/100</f>
        <v>351.5532</v>
      </c>
      <c r="O9" s="34">
        <f>N9 * MethanePercent/100</f>
        <v>210.93192</v>
      </c>
      <c r="P9" s="34">
        <f>N9 * Days</f>
        <v>105465.96</v>
      </c>
      <c r="Q9" s="34">
        <f>O9 * Days</f>
        <v>63279.576</v>
      </c>
      <c r="S9" s="34">
        <f>N9 * BiogasUsefulHeat</f>
        <v>4530.817642</v>
      </c>
      <c r="T9" s="34">
        <f>S9 / LPGUsefulHeat</f>
        <v>164.1600595</v>
      </c>
      <c r="U9" s="38">
        <f t="shared" si="5"/>
        <v>8.64000313</v>
      </c>
      <c r="W9" s="34">
        <f>S9 * Days</f>
        <v>1359245.292</v>
      </c>
      <c r="X9" s="34">
        <f>W9 / LPGUsefulHeat</f>
        <v>49248.01784</v>
      </c>
      <c r="Y9" s="39">
        <f t="shared" si="6"/>
        <v>2592.000939</v>
      </c>
    </row>
    <row r="10">
      <c r="A10" s="32">
        <v>170.0</v>
      </c>
      <c r="B10" s="33">
        <v>3.25</v>
      </c>
      <c r="D10" s="34">
        <f>A10 * HostelPopulation * 0.001</f>
        <v>2312.85</v>
      </c>
      <c r="E10" s="34">
        <f>D10 * Days</f>
        <v>693855</v>
      </c>
      <c r="G10" s="34">
        <f>D10 * DryFoodPercent/100 * VS_Percent/100</f>
        <v>549.301875</v>
      </c>
      <c r="I10" s="35">
        <f t="shared" si="1"/>
        <v>366.20125</v>
      </c>
      <c r="J10" s="36">
        <f t="shared" si="2"/>
        <v>183.100625</v>
      </c>
      <c r="K10" s="34">
        <f t="shared" si="3"/>
        <v>122.0670833</v>
      </c>
      <c r="L10" s="37">
        <f t="shared" si="4"/>
        <v>91.5503125</v>
      </c>
      <c r="N10" s="34">
        <f>G10 * BiogasPercent/100</f>
        <v>373.525275</v>
      </c>
      <c r="O10" s="34">
        <f>N10 * MethanePercent/100</f>
        <v>224.115165</v>
      </c>
      <c r="P10" s="34">
        <f>N10 * Days</f>
        <v>112057.5825</v>
      </c>
      <c r="Q10" s="34">
        <f>O10 * Days</f>
        <v>67234.5495</v>
      </c>
      <c r="S10" s="34">
        <f>N10 * BiogasUsefulHeat</f>
        <v>4813.993744</v>
      </c>
      <c r="T10" s="34">
        <f>S10 / LPGUsefulHeat</f>
        <v>174.4200632</v>
      </c>
      <c r="U10" s="38">
        <f t="shared" si="5"/>
        <v>9.180003326</v>
      </c>
      <c r="W10" s="34">
        <f>S10 * Days</f>
        <v>1444198.123</v>
      </c>
      <c r="X10" s="34">
        <f>W10 / LPGUsefulHeat</f>
        <v>52326.01896</v>
      </c>
      <c r="Y10" s="39">
        <f t="shared" si="6"/>
        <v>2754.000998</v>
      </c>
    </row>
    <row r="11">
      <c r="A11" s="32">
        <v>180.0</v>
      </c>
      <c r="B11" s="33">
        <v>3.5</v>
      </c>
      <c r="D11" s="34">
        <f>A11 * HostelPopulation * 0.001</f>
        <v>2448.9</v>
      </c>
      <c r="E11" s="34">
        <f>D11 * Days</f>
        <v>734670</v>
      </c>
      <c r="G11" s="34">
        <f>D11 * DryFoodPercent/100 * VS_Percent/100</f>
        <v>581.61375</v>
      </c>
      <c r="I11" s="35">
        <f t="shared" si="1"/>
        <v>387.7425</v>
      </c>
      <c r="J11" s="36">
        <f t="shared" si="2"/>
        <v>193.87125</v>
      </c>
      <c r="K11" s="34">
        <f t="shared" si="3"/>
        <v>129.2475</v>
      </c>
      <c r="L11" s="37">
        <f t="shared" si="4"/>
        <v>96.935625</v>
      </c>
      <c r="N11" s="34">
        <f>G11 * BiogasPercent/100</f>
        <v>395.49735</v>
      </c>
      <c r="O11" s="34">
        <f>N11 * MethanePercent/100</f>
        <v>237.29841</v>
      </c>
      <c r="P11" s="34">
        <f>N11 * Days</f>
        <v>118649.205</v>
      </c>
      <c r="Q11" s="34">
        <f>O11 * Days</f>
        <v>71189.523</v>
      </c>
      <c r="S11" s="34">
        <f>N11 * BiogasUsefulHeat</f>
        <v>5097.169847</v>
      </c>
      <c r="T11" s="34">
        <f>S11 / LPGUsefulHeat</f>
        <v>184.6800669</v>
      </c>
      <c r="U11" s="38">
        <f t="shared" si="5"/>
        <v>9.720003522</v>
      </c>
      <c r="W11" s="34">
        <f>S11 * Days</f>
        <v>1529150.954</v>
      </c>
      <c r="X11" s="34">
        <f>W11 / LPGUsefulHeat</f>
        <v>55404.02007</v>
      </c>
      <c r="Y11" s="39">
        <f t="shared" si="6"/>
        <v>2916.001057</v>
      </c>
    </row>
    <row r="12">
      <c r="A12" s="32">
        <v>190.0</v>
      </c>
      <c r="B12" s="33">
        <v>3.75</v>
      </c>
      <c r="D12" s="34">
        <f>A12 * HostelPopulation * 0.001</f>
        <v>2584.95</v>
      </c>
      <c r="E12" s="34">
        <f>D12 * Days</f>
        <v>775485</v>
      </c>
      <c r="G12" s="34">
        <f>D12 * DryFoodPercent/100 * VS_Percent/100</f>
        <v>613.925625</v>
      </c>
      <c r="I12" s="35">
        <f t="shared" si="1"/>
        <v>409.28375</v>
      </c>
      <c r="J12" s="36">
        <f t="shared" si="2"/>
        <v>204.641875</v>
      </c>
      <c r="K12" s="34">
        <f t="shared" si="3"/>
        <v>136.4279167</v>
      </c>
      <c r="L12" s="37">
        <f t="shared" si="4"/>
        <v>102.3209375</v>
      </c>
      <c r="N12" s="34">
        <f>G12 * BiogasPercent/100</f>
        <v>417.469425</v>
      </c>
      <c r="O12" s="34">
        <f>N12 * MethanePercent/100</f>
        <v>250.481655</v>
      </c>
      <c r="P12" s="34">
        <f>N12 * Days</f>
        <v>125240.8275</v>
      </c>
      <c r="Q12" s="34">
        <f>O12 * Days</f>
        <v>75144.4965</v>
      </c>
      <c r="S12" s="34">
        <f>N12 * BiogasUsefulHeat</f>
        <v>5380.345949</v>
      </c>
      <c r="T12" s="34">
        <f>S12 / LPGUsefulHeat</f>
        <v>194.9400706</v>
      </c>
      <c r="U12" s="38">
        <f t="shared" si="5"/>
        <v>10.26000372</v>
      </c>
      <c r="W12" s="34">
        <f>S12 * Days</f>
        <v>1614103.785</v>
      </c>
      <c r="X12" s="34">
        <f>W12 / LPGUsefulHeat</f>
        <v>58482.02119</v>
      </c>
      <c r="Y12" s="39">
        <f t="shared" si="6"/>
        <v>3078.001115</v>
      </c>
    </row>
    <row r="13">
      <c r="A13" s="32">
        <v>200.0</v>
      </c>
      <c r="B13" s="33">
        <v>4.0</v>
      </c>
      <c r="D13" s="34">
        <f>A13 * HostelPopulation * 0.001</f>
        <v>2721</v>
      </c>
      <c r="E13" s="34">
        <f>D13 * Days</f>
        <v>816300</v>
      </c>
      <c r="G13" s="34">
        <f>D13 * DryFoodPercent/100 * VS_Percent/100</f>
        <v>646.2375</v>
      </c>
      <c r="I13" s="35">
        <f t="shared" si="1"/>
        <v>430.825</v>
      </c>
      <c r="J13" s="36">
        <f t="shared" si="2"/>
        <v>215.4125</v>
      </c>
      <c r="K13" s="34">
        <f t="shared" si="3"/>
        <v>143.6083333</v>
      </c>
      <c r="L13" s="37">
        <f t="shared" si="4"/>
        <v>107.70625</v>
      </c>
      <c r="N13" s="34">
        <f>G13 * BiogasPercent/100</f>
        <v>439.4415</v>
      </c>
      <c r="O13" s="34">
        <f>N13 * MethanePercent/100</f>
        <v>263.6649</v>
      </c>
      <c r="P13" s="34">
        <f>N13 * Days</f>
        <v>131832.45</v>
      </c>
      <c r="Q13" s="34">
        <f>O13 * Days</f>
        <v>79099.47</v>
      </c>
      <c r="S13" s="34">
        <f>N13 * BiogasUsefulHeat</f>
        <v>5663.522052</v>
      </c>
      <c r="T13" s="34">
        <f>S13 / LPGUsefulHeat</f>
        <v>205.2000743</v>
      </c>
      <c r="U13" s="38">
        <f t="shared" si="5"/>
        <v>10.80000391</v>
      </c>
      <c r="W13" s="34">
        <f>S13 * Days</f>
        <v>1699056.616</v>
      </c>
      <c r="X13" s="34">
        <f>W13 / LPGUsefulHeat</f>
        <v>61560.0223</v>
      </c>
      <c r="Y13" s="39">
        <f t="shared" si="6"/>
        <v>3240.001174</v>
      </c>
    </row>
    <row r="14">
      <c r="A14" s="32">
        <v>210.0</v>
      </c>
      <c r="B14" s="33">
        <v>4.25</v>
      </c>
      <c r="D14" s="34">
        <f>A14 * HostelPopulation * 0.001</f>
        <v>2857.05</v>
      </c>
      <c r="E14" s="34">
        <f>D14 * Days</f>
        <v>857115</v>
      </c>
      <c r="G14" s="34">
        <f>D14 * DryFoodPercent/100 * VS_Percent/100</f>
        <v>678.549375</v>
      </c>
      <c r="I14" s="35">
        <f t="shared" si="1"/>
        <v>452.36625</v>
      </c>
      <c r="J14" s="36">
        <f t="shared" si="2"/>
        <v>226.183125</v>
      </c>
      <c r="K14" s="34">
        <f t="shared" si="3"/>
        <v>150.78875</v>
      </c>
      <c r="L14" s="37">
        <f t="shared" si="4"/>
        <v>113.0915625</v>
      </c>
      <c r="N14" s="34">
        <f>G14 * BiogasPercent/100</f>
        <v>461.413575</v>
      </c>
      <c r="O14" s="34">
        <f>N14 * MethanePercent/100</f>
        <v>276.848145</v>
      </c>
      <c r="P14" s="34">
        <f>N14 * Days</f>
        <v>138424.0725</v>
      </c>
      <c r="Q14" s="34">
        <f>O14 * Days</f>
        <v>83054.4435</v>
      </c>
      <c r="S14" s="34">
        <f>N14 * BiogasUsefulHeat</f>
        <v>5946.698155</v>
      </c>
      <c r="T14" s="34">
        <f>S14 / LPGUsefulHeat</f>
        <v>215.4600781</v>
      </c>
      <c r="U14" s="38">
        <f t="shared" si="5"/>
        <v>11.34000411</v>
      </c>
      <c r="W14" s="34">
        <f>S14 * Days</f>
        <v>1784009.446</v>
      </c>
      <c r="X14" s="34">
        <f>W14 / LPGUsefulHeat</f>
        <v>64638.02342</v>
      </c>
      <c r="Y14" s="39">
        <f t="shared" si="6"/>
        <v>3402.001233</v>
      </c>
    </row>
    <row r="15">
      <c r="A15" s="32">
        <v>220.0</v>
      </c>
      <c r="B15" s="4">
        <v>4.5</v>
      </c>
      <c r="D15" s="34">
        <f>A15 * HostelPopulation * 0.001</f>
        <v>2993.1</v>
      </c>
      <c r="E15" s="34">
        <f>D15 * Days</f>
        <v>897930</v>
      </c>
      <c r="G15" s="34">
        <f>D15 * DryFoodPercent/100 * VS_Percent/100</f>
        <v>710.86125</v>
      </c>
      <c r="I15" s="35">
        <f t="shared" si="1"/>
        <v>473.9075</v>
      </c>
      <c r="J15" s="36">
        <f t="shared" si="2"/>
        <v>236.95375</v>
      </c>
      <c r="K15" s="34">
        <f t="shared" si="3"/>
        <v>157.9691667</v>
      </c>
      <c r="L15" s="37">
        <f t="shared" si="4"/>
        <v>118.476875</v>
      </c>
      <c r="N15" s="34">
        <f>G15 * BiogasPercent/100</f>
        <v>483.38565</v>
      </c>
      <c r="O15" s="34">
        <f>N15 * MethanePercent/100</f>
        <v>290.03139</v>
      </c>
      <c r="P15" s="34">
        <f>N15 * Days</f>
        <v>145015.695</v>
      </c>
      <c r="Q15" s="34">
        <f>O15 * Days</f>
        <v>87009.417</v>
      </c>
      <c r="S15" s="34">
        <f>N15 * BiogasUsefulHeat</f>
        <v>6229.874257</v>
      </c>
      <c r="T15" s="34">
        <f>S15 / LPGUsefulHeat</f>
        <v>225.7200818</v>
      </c>
      <c r="U15" s="38">
        <f t="shared" si="5"/>
        <v>11.8800043</v>
      </c>
      <c r="W15" s="34">
        <f>S15 * Days</f>
        <v>1868962.277</v>
      </c>
      <c r="X15" s="34">
        <f>W15 / LPGUsefulHeat</f>
        <v>67716.02453</v>
      </c>
      <c r="Y15" s="39">
        <f t="shared" si="6"/>
        <v>3564.001291</v>
      </c>
    </row>
    <row r="16">
      <c r="A16" s="32">
        <v>230.0</v>
      </c>
      <c r="B16" s="33">
        <v>4.75</v>
      </c>
      <c r="D16" s="34">
        <f>A16 * HostelPopulation * 0.001</f>
        <v>3129.15</v>
      </c>
      <c r="E16" s="34">
        <f>D16 * Days</f>
        <v>938745</v>
      </c>
      <c r="G16" s="34">
        <f>D16 * DryFoodPercent/100 * VS_Percent/100</f>
        <v>743.173125</v>
      </c>
      <c r="I16" s="35">
        <f t="shared" si="1"/>
        <v>495.44875</v>
      </c>
      <c r="J16" s="36">
        <f t="shared" si="2"/>
        <v>247.724375</v>
      </c>
      <c r="K16" s="34">
        <f t="shared" si="3"/>
        <v>165.1495833</v>
      </c>
      <c r="L16" s="37">
        <f t="shared" si="4"/>
        <v>123.8621875</v>
      </c>
      <c r="N16" s="34">
        <f>G16 * BiogasPercent/100</f>
        <v>505.357725</v>
      </c>
      <c r="O16" s="34">
        <f>N16 * MethanePercent/100</f>
        <v>303.214635</v>
      </c>
      <c r="P16" s="34">
        <f>N16 * Days</f>
        <v>151607.3175</v>
      </c>
      <c r="Q16" s="34">
        <f>O16 * Days</f>
        <v>90964.3905</v>
      </c>
      <c r="S16" s="34">
        <f>N16 * BiogasUsefulHeat</f>
        <v>6513.05036</v>
      </c>
      <c r="T16" s="34">
        <f>S16 / LPGUsefulHeat</f>
        <v>235.9800855</v>
      </c>
      <c r="U16" s="38">
        <f t="shared" si="5"/>
        <v>12.4200045</v>
      </c>
      <c r="W16" s="34">
        <f>S16 * Days</f>
        <v>1953915.108</v>
      </c>
      <c r="X16" s="34">
        <f>W16 / LPGUsefulHeat</f>
        <v>70794.02565</v>
      </c>
      <c r="Y16" s="39">
        <f t="shared" si="6"/>
        <v>3726.00135</v>
      </c>
    </row>
    <row r="17">
      <c r="A17" s="32">
        <v>240.0</v>
      </c>
      <c r="B17" s="33">
        <v>5.0</v>
      </c>
      <c r="D17" s="34">
        <f>A17 * HostelPopulation * 0.001</f>
        <v>3265.2</v>
      </c>
      <c r="E17" s="34">
        <f>D17 * Days</f>
        <v>979560</v>
      </c>
      <c r="G17" s="34">
        <f>D17 * DryFoodPercent/100 * VS_Percent/100</f>
        <v>775.485</v>
      </c>
      <c r="I17" s="35">
        <f t="shared" si="1"/>
        <v>516.99</v>
      </c>
      <c r="J17" s="36">
        <f t="shared" si="2"/>
        <v>258.495</v>
      </c>
      <c r="K17" s="34">
        <f t="shared" si="3"/>
        <v>172.33</v>
      </c>
      <c r="L17" s="37">
        <f t="shared" si="4"/>
        <v>129.2475</v>
      </c>
      <c r="N17" s="34">
        <f>G17 * BiogasPercent/100</f>
        <v>527.3298</v>
      </c>
      <c r="O17" s="34">
        <f>N17 * MethanePercent/100</f>
        <v>316.39788</v>
      </c>
      <c r="P17" s="34">
        <f>N17 * Days</f>
        <v>158198.94</v>
      </c>
      <c r="Q17" s="34">
        <f>O17 * Days</f>
        <v>94919.364</v>
      </c>
      <c r="S17" s="34">
        <f>N17 * BiogasUsefulHeat</f>
        <v>6796.226462</v>
      </c>
      <c r="T17" s="34">
        <f>S17 / LPGUsefulHeat</f>
        <v>246.2400892</v>
      </c>
      <c r="U17" s="38">
        <f t="shared" si="5"/>
        <v>12.9600047</v>
      </c>
      <c r="W17" s="34">
        <f>S17 * Days</f>
        <v>2038867.939</v>
      </c>
      <c r="X17" s="34">
        <f>W17 / LPGUsefulHeat</f>
        <v>73872.02677</v>
      </c>
      <c r="Y17" s="39">
        <f t="shared" si="6"/>
        <v>3888.001409</v>
      </c>
    </row>
    <row r="18">
      <c r="A18" s="49">
        <v>250.0</v>
      </c>
      <c r="B18" s="50">
        <v>5.25</v>
      </c>
      <c r="D18" s="51">
        <f>A18 * HostelPopulation * 0.001</f>
        <v>3401.25</v>
      </c>
      <c r="E18" s="51">
        <f>D18 * Days</f>
        <v>1020375</v>
      </c>
      <c r="F18" s="51"/>
      <c r="G18" s="51">
        <f>D18 * DryFoodPercent/100 * VS_Percent/100</f>
        <v>807.796875</v>
      </c>
      <c r="I18" s="52">
        <f t="shared" si="1"/>
        <v>538.53125</v>
      </c>
      <c r="J18" s="53">
        <f t="shared" si="2"/>
        <v>269.265625</v>
      </c>
      <c r="K18" s="51">
        <f t="shared" si="3"/>
        <v>179.5104167</v>
      </c>
      <c r="L18" s="54">
        <f t="shared" si="4"/>
        <v>134.6328125</v>
      </c>
      <c r="N18" s="51">
        <f>G18 * BiogasPercent/100</f>
        <v>549.301875</v>
      </c>
      <c r="O18" s="51">
        <f>N18 * MethanePercent/100</f>
        <v>329.581125</v>
      </c>
      <c r="P18" s="51">
        <f>N18 * Days</f>
        <v>164790.5625</v>
      </c>
      <c r="Q18" s="51">
        <f>O18 * Days</f>
        <v>98874.3375</v>
      </c>
      <c r="S18" s="51">
        <f>N18 * BiogasUsefulHeat</f>
        <v>7079.402565</v>
      </c>
      <c r="T18" s="51">
        <f>S18 / LPGUsefulHeat</f>
        <v>256.5000929</v>
      </c>
      <c r="U18" s="55">
        <f t="shared" si="5"/>
        <v>13.50000489</v>
      </c>
      <c r="W18" s="51">
        <f>S18 * Days</f>
        <v>2123820.77</v>
      </c>
      <c r="X18" s="51">
        <f>W18 / LPGUsefulHeat</f>
        <v>76950.02788</v>
      </c>
      <c r="Y18" s="56">
        <f t="shared" si="6"/>
        <v>4050.001467</v>
      </c>
    </row>
    <row r="19">
      <c r="A19" s="32">
        <v>260.0</v>
      </c>
      <c r="B19" s="33">
        <v>5.5</v>
      </c>
      <c r="D19" s="34">
        <f>A19 * HostelPopulation * 0.001</f>
        <v>3537.3</v>
      </c>
      <c r="E19" s="34">
        <f>D19 * Days</f>
        <v>1061190</v>
      </c>
      <c r="G19" s="34">
        <f>D19 * DryFoodPercent/100 * VS_Percent/100</f>
        <v>840.10875</v>
      </c>
      <c r="I19" s="35">
        <f t="shared" si="1"/>
        <v>560.0725</v>
      </c>
      <c r="J19" s="36">
        <f t="shared" si="2"/>
        <v>280.03625</v>
      </c>
      <c r="K19" s="34">
        <f t="shared" si="3"/>
        <v>186.6908333</v>
      </c>
      <c r="L19" s="37">
        <f t="shared" si="4"/>
        <v>140.018125</v>
      </c>
      <c r="N19" s="34">
        <f>G19 * BiogasPercent/100</f>
        <v>571.27395</v>
      </c>
      <c r="O19" s="34">
        <f>N19 * MethanePercent/100</f>
        <v>342.76437</v>
      </c>
      <c r="P19" s="34">
        <f>N19 * Days</f>
        <v>171382.185</v>
      </c>
      <c r="Q19" s="34">
        <f>O19 * Days</f>
        <v>102829.311</v>
      </c>
      <c r="S19" s="34">
        <f>N19 * BiogasUsefulHeat</f>
        <v>7362.578668</v>
      </c>
      <c r="T19" s="34">
        <f>S19 / LPGUsefulHeat</f>
        <v>266.7600967</v>
      </c>
      <c r="U19" s="38">
        <f t="shared" si="5"/>
        <v>14.04000509</v>
      </c>
      <c r="W19" s="34">
        <f>S19 * Days</f>
        <v>2208773.6</v>
      </c>
      <c r="X19" s="34">
        <f>W19 / LPGUsefulHeat</f>
        <v>80028.029</v>
      </c>
      <c r="Y19" s="39">
        <f t="shared" si="6"/>
        <v>4212.001526</v>
      </c>
    </row>
    <row r="20">
      <c r="A20" s="32">
        <v>270.0</v>
      </c>
      <c r="B20" s="33">
        <v>5.75</v>
      </c>
      <c r="D20" s="34">
        <f>A20 * HostelPopulation * 0.001</f>
        <v>3673.35</v>
      </c>
      <c r="E20" s="34">
        <f>D20 * Days</f>
        <v>1102005</v>
      </c>
      <c r="G20" s="34">
        <f>D20 * DryFoodPercent/100 * VS_Percent/100</f>
        <v>872.420625</v>
      </c>
      <c r="I20" s="35">
        <f t="shared" si="1"/>
        <v>581.61375</v>
      </c>
      <c r="J20" s="36">
        <f t="shared" si="2"/>
        <v>290.806875</v>
      </c>
      <c r="K20" s="34">
        <f t="shared" si="3"/>
        <v>193.87125</v>
      </c>
      <c r="L20" s="37">
        <f t="shared" si="4"/>
        <v>145.4034375</v>
      </c>
      <c r="N20" s="34">
        <f>G20 * BiogasPercent/100</f>
        <v>593.246025</v>
      </c>
      <c r="O20" s="34">
        <f>N20 * MethanePercent/100</f>
        <v>355.947615</v>
      </c>
      <c r="P20" s="34">
        <f>N20 * Days</f>
        <v>177973.8075</v>
      </c>
      <c r="Q20" s="34">
        <f>O20 * Days</f>
        <v>106784.2845</v>
      </c>
      <c r="S20" s="34">
        <f>N20 * BiogasUsefulHeat</f>
        <v>7645.75477</v>
      </c>
      <c r="T20" s="34">
        <f>S20 / LPGUsefulHeat</f>
        <v>277.0201004</v>
      </c>
      <c r="U20" s="38">
        <f t="shared" si="5"/>
        <v>14.58000528</v>
      </c>
      <c r="W20" s="34">
        <f>S20 * Days</f>
        <v>2293726.431</v>
      </c>
      <c r="X20" s="34">
        <f>W20 / LPGUsefulHeat</f>
        <v>83106.03011</v>
      </c>
      <c r="Y20" s="39">
        <f t="shared" si="6"/>
        <v>4374.001585</v>
      </c>
    </row>
    <row r="21">
      <c r="A21" s="32">
        <v>280.0</v>
      </c>
      <c r="B21" s="4">
        <v>6.0</v>
      </c>
      <c r="D21" s="34">
        <f>A21 * HostelPopulation * 0.001</f>
        <v>3809.4</v>
      </c>
      <c r="E21" s="34">
        <f>D21 * Days</f>
        <v>1142820</v>
      </c>
      <c r="G21" s="34">
        <f>D21 * DryFoodPercent/100 * VS_Percent/100</f>
        <v>904.7325</v>
      </c>
      <c r="I21" s="35">
        <f t="shared" si="1"/>
        <v>603.155</v>
      </c>
      <c r="J21" s="36">
        <f t="shared" si="2"/>
        <v>301.5775</v>
      </c>
      <c r="K21" s="34">
        <f t="shared" si="3"/>
        <v>201.0516667</v>
      </c>
      <c r="L21" s="37">
        <f t="shared" si="4"/>
        <v>150.78875</v>
      </c>
      <c r="N21" s="34">
        <f>G21 * BiogasPercent/100</f>
        <v>615.2181</v>
      </c>
      <c r="O21" s="34">
        <f>N21 * MethanePercent/100</f>
        <v>369.13086</v>
      </c>
      <c r="P21" s="34">
        <f>N21 * Days</f>
        <v>184565.43</v>
      </c>
      <c r="Q21" s="34">
        <f>O21 * Days</f>
        <v>110739.258</v>
      </c>
      <c r="S21" s="34">
        <f>N21 * BiogasUsefulHeat</f>
        <v>7928.930873</v>
      </c>
      <c r="T21" s="34">
        <f>S21 / LPGUsefulHeat</f>
        <v>287.2801041</v>
      </c>
      <c r="U21" s="38">
        <f t="shared" si="5"/>
        <v>15.12000548</v>
      </c>
      <c r="W21" s="34">
        <f>S21 * Days</f>
        <v>2378679.262</v>
      </c>
      <c r="X21" s="34">
        <f>W21 / LPGUsefulHeat</f>
        <v>86184.03123</v>
      </c>
      <c r="Y21" s="39">
        <f t="shared" si="6"/>
        <v>4536.001643</v>
      </c>
    </row>
    <row r="22">
      <c r="A22" s="32">
        <v>290.0</v>
      </c>
      <c r="B22" s="33">
        <v>6.25</v>
      </c>
      <c r="D22" s="34">
        <f>A22 * HostelPopulation * 0.001</f>
        <v>3945.45</v>
      </c>
      <c r="E22" s="34">
        <f>D22 * Days</f>
        <v>1183635</v>
      </c>
      <c r="G22" s="34">
        <f>D22 * DryFoodPercent/100 * VS_Percent/100</f>
        <v>937.044375</v>
      </c>
      <c r="I22" s="35">
        <f t="shared" si="1"/>
        <v>624.69625</v>
      </c>
      <c r="J22" s="36">
        <f t="shared" si="2"/>
        <v>312.348125</v>
      </c>
      <c r="K22" s="34">
        <f t="shared" si="3"/>
        <v>208.2320833</v>
      </c>
      <c r="L22" s="37">
        <f t="shared" si="4"/>
        <v>156.1740625</v>
      </c>
      <c r="N22" s="34">
        <f>G22 * BiogasPercent/100</f>
        <v>637.190175</v>
      </c>
      <c r="O22" s="34">
        <f>N22 * MethanePercent/100</f>
        <v>382.314105</v>
      </c>
      <c r="P22" s="34">
        <f>N22 * Days</f>
        <v>191157.0525</v>
      </c>
      <c r="Q22" s="34">
        <f>O22 * Days</f>
        <v>114694.2315</v>
      </c>
      <c r="S22" s="34">
        <f>N22 * BiogasUsefulHeat</f>
        <v>8212.106975</v>
      </c>
      <c r="T22" s="34">
        <f>S22 / LPGUsefulHeat</f>
        <v>297.5401078</v>
      </c>
      <c r="U22" s="38">
        <f t="shared" si="5"/>
        <v>15.66000567</v>
      </c>
      <c r="W22" s="34">
        <f>S22 * Days</f>
        <v>2463632.093</v>
      </c>
      <c r="X22" s="34">
        <f>W22 / LPGUsefulHeat</f>
        <v>89262.03234</v>
      </c>
      <c r="Y22" s="39">
        <f t="shared" si="6"/>
        <v>4698.001702</v>
      </c>
    </row>
    <row r="23">
      <c r="A23" s="32">
        <v>300.0</v>
      </c>
      <c r="B23" s="33">
        <v>6.5</v>
      </c>
      <c r="D23" s="34">
        <f>A23 * HostelPopulation * 0.001</f>
        <v>4081.5</v>
      </c>
      <c r="E23" s="34">
        <f>D23 * Days</f>
        <v>1224450</v>
      </c>
      <c r="G23" s="34">
        <f>D23 * DryFoodPercent/100 * VS_Percent/100</f>
        <v>969.35625</v>
      </c>
      <c r="I23" s="57">
        <f t="shared" si="1"/>
        <v>646.2375</v>
      </c>
      <c r="J23" s="58">
        <f t="shared" si="2"/>
        <v>323.11875</v>
      </c>
      <c r="K23" s="59">
        <f t="shared" si="3"/>
        <v>215.4125</v>
      </c>
      <c r="L23" s="14">
        <f t="shared" si="4"/>
        <v>161.559375</v>
      </c>
      <c r="N23" s="34">
        <f>G23 * BiogasPercent/100</f>
        <v>659.16225</v>
      </c>
      <c r="O23" s="34">
        <f>N23 * MethanePercent/100</f>
        <v>395.49735</v>
      </c>
      <c r="P23" s="34">
        <f>N23 * Days</f>
        <v>197748.675</v>
      </c>
      <c r="Q23" s="34">
        <f>O23 * Days</f>
        <v>118649.205</v>
      </c>
      <c r="S23" s="34">
        <f>N23 * BiogasUsefulHeat</f>
        <v>8495.283078</v>
      </c>
      <c r="T23" s="34">
        <f>S23 / LPGUsefulHeat</f>
        <v>307.8001115</v>
      </c>
      <c r="U23" s="38">
        <f t="shared" si="5"/>
        <v>16.20000587</v>
      </c>
      <c r="W23" s="34">
        <f>S23 * Days</f>
        <v>2548584.923</v>
      </c>
      <c r="X23" s="34">
        <f>W23 / LPGUsefulHeat</f>
        <v>92340.03346</v>
      </c>
      <c r="Y23" s="39">
        <f t="shared" si="6"/>
        <v>4860.001761</v>
      </c>
    </row>
  </sheetData>
  <mergeCells count="1">
    <mergeCell ref="W1:Y1"/>
  </mergeCells>
  <drawing r:id="rId1"/>
</worksheet>
</file>